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Weekly Checkpoints" sheetId="3" state="visible" r:id="rId3"/>
    <sheet xmlns:r="http://schemas.openxmlformats.org/officeDocument/2006/relationships" name="Mastery" sheetId="4" state="visible" r:id="rId4"/>
    <sheet xmlns:r="http://schemas.openxmlformats.org/officeDocument/2006/relationships" name="Error Log" sheetId="5" state="visible" r:id="rId5"/>
    <sheet xmlns:r="http://schemas.openxmlformats.org/officeDocument/2006/relationships" name="How to 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b val="1"/>
      <color rgb="001F4E79"/>
    </font>
    <font>
      <b val="1"/>
      <color rgb="002E75B6"/>
      <sz val="13"/>
    </font>
    <font>
      <b val="1"/>
    </font>
    <font>
      <name val="Calibri"/>
      <b val="1"/>
      <color rgb="00FFFFFF"/>
      <sz val="11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Neil's Algebra 1 — Dashboard</t>
        </is>
      </c>
    </row>
    <row r="3">
      <c r="A3" s="2" t="inlineStr">
        <is>
          <t>Student</t>
        </is>
      </c>
      <c r="B3" t="inlineStr">
        <is>
          <t>Neil Velicheti</t>
        </is>
      </c>
    </row>
    <row r="4">
      <c r="A4" s="2" t="inlineStr">
        <is>
          <t>Class</t>
        </is>
      </c>
      <c r="B4" t="inlineStr">
        <is>
          <t>MAT100B-616 Algebra 1 P6 (Ashley Mcconnell)</t>
        </is>
      </c>
    </row>
    <row r="5">
      <c r="A5" s="2" t="inlineStr">
        <is>
          <t>Plan start</t>
        </is>
      </c>
      <c r="B5" t="inlineStr">
        <is>
          <t>April 23, 2026</t>
        </is>
      </c>
    </row>
    <row r="6">
      <c r="A6" s="2" t="inlineStr">
        <is>
          <t>Final exam date (fill in)</t>
        </is>
      </c>
      <c r="B6" t="inlineStr"/>
    </row>
    <row r="7">
      <c r="A7" s="2" t="inlineStr">
        <is>
          <t>Last day of school</t>
        </is>
      </c>
      <c r="B7" t="inlineStr">
        <is>
          <t>May 20, 2026</t>
        </is>
      </c>
    </row>
    <row r="8">
      <c r="A8" s="2" t="inlineStr">
        <is>
          <t>Phase 2 (summer) start</t>
        </is>
      </c>
      <c r="B8" t="inlineStr">
        <is>
          <t>June 1, 2026</t>
        </is>
      </c>
    </row>
    <row r="9">
      <c r="A9" s="2" t="inlineStr">
        <is>
          <t>Phase 3 check / go-no-go</t>
        </is>
      </c>
      <c r="B9" t="inlineStr">
        <is>
          <t>July 13–15, 2026</t>
        </is>
      </c>
    </row>
    <row r="10">
      <c r="A10" s="2" t="inlineStr">
        <is>
          <t>School restarts</t>
        </is>
      </c>
      <c r="B10" t="inlineStr">
        <is>
          <t>July 16, 2026</t>
        </is>
      </c>
    </row>
    <row r="11">
      <c r="A11" s="3" t="inlineStr">
        <is>
          <t>Quick stats (auto-calculated from Daily Log)</t>
        </is>
      </c>
    </row>
    <row r="13">
      <c r="A13" s="4" t="inlineStr">
        <is>
          <t>Days completed</t>
        </is>
      </c>
      <c r="B13">
        <f>COUNTIF('Daily Log'!D:D,"Done")</f>
        <v/>
      </c>
    </row>
    <row r="14">
      <c r="A14" s="4" t="inlineStr">
        <is>
          <t>Days skipped</t>
        </is>
      </c>
      <c r="B14">
        <f>COUNTIF('Daily Log'!D:D,"Skipped")</f>
        <v/>
      </c>
    </row>
    <row r="15">
      <c r="A15" s="4" t="inlineStr">
        <is>
          <t>Current streak (days)</t>
        </is>
      </c>
      <c r="B15">
        <f>SUMPRODUCT(('Daily Log'!D2:D200="Done")*1) - SUMPRODUCT(('Daily Log'!D2:D200="Skipped")*(ROW('Daily Log'!D2:D200)&gt;MAX(IF('Daily Log'!D2:D200&lt;&gt;"Done",ROW('Daily Log'!D2:D200),0))))</f>
        <v/>
      </c>
    </row>
    <row r="16">
      <c r="A16" s="4" t="inlineStr">
        <is>
          <t>Quiz avg score (%)</t>
        </is>
      </c>
      <c r="B16">
        <f>IFERROR(AVERAGE('Weekly Checkpoints'!D2:D100)*100,0)</f>
        <v/>
      </c>
    </row>
    <row r="17">
      <c r="A17" s="4" t="inlineStr">
        <is>
          <t>Chapters at Mastered</t>
        </is>
      </c>
      <c r="B17">
        <f>COUNTIF('Mastery'!C2:C50,"Mastered")</f>
        <v/>
      </c>
    </row>
    <row r="18">
      <c r="A18" s="4" t="inlineStr">
        <is>
          <t>Chapters at Weak</t>
        </is>
      </c>
      <c r="B18">
        <f>COUNTIF('Mastery'!C2:C50,"Weak")</f>
        <v/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2" customWidth="1" min="3" max="3"/>
    <col width="10" customWidth="1" min="4" max="4"/>
    <col width="9" customWidth="1" min="5" max="5"/>
    <col width="30" customWidth="1" min="6" max="6"/>
    <col width="38" customWidth="1" min="7" max="7"/>
    <col width="22" customWidth="1" min="8" max="8"/>
  </cols>
  <sheetData>
    <row r="1">
      <c r="A1" s="5" t="inlineStr">
        <is>
          <t>Date</t>
        </is>
      </c>
      <c r="B1" s="5" t="inlineStr">
        <is>
          <t>Day of week</t>
        </is>
      </c>
      <c r="C1" s="5" t="inlineStr">
        <is>
          <t>Planned focus</t>
        </is>
      </c>
      <c r="D1" s="5" t="inlineStr">
        <is>
          <t>Status</t>
        </is>
      </c>
      <c r="E1" s="5" t="inlineStr">
        <is>
          <t>Minutes</t>
        </is>
      </c>
      <c r="F1" s="5" t="inlineStr">
        <is>
          <t>Topics today</t>
        </is>
      </c>
      <c r="G1" s="5" t="inlineStr">
        <is>
          <t>Mistakes to remember</t>
        </is>
      </c>
      <c r="H1" s="5" t="inlineStr">
        <is>
          <t>Notes</t>
        </is>
      </c>
    </row>
    <row r="2">
      <c r="A2" s="6" t="inlineStr">
        <is>
          <t>2026-04-23</t>
        </is>
      </c>
      <c r="B2" s="6" t="inlineStr">
        <is>
          <t>Thursday</t>
        </is>
      </c>
      <c r="C2" s="6" t="inlineStr">
        <is>
          <t>P1 This week: Ch 8 post-mortem + redo misses on blank Unit 8 Study Guide</t>
        </is>
      </c>
      <c r="D2" s="6" t="n"/>
      <c r="E2" s="6" t="n"/>
      <c r="F2" s="6" t="n"/>
      <c r="G2" s="6" t="n"/>
      <c r="H2" s="6" t="n"/>
    </row>
    <row r="3">
      <c r="A3" s="7" t="inlineStr">
        <is>
          <t>2026-04-24</t>
        </is>
      </c>
      <c r="B3" s="7" t="inlineStr">
        <is>
          <t>Friday</t>
        </is>
      </c>
      <c r="C3" s="7" t="inlineStr">
        <is>
          <t>P1 This week: Ch 8 post-mortem + redo misses on blank Unit 8 Study Guide</t>
        </is>
      </c>
      <c r="D3" s="7" t="n"/>
      <c r="E3" s="7" t="n"/>
      <c r="F3" s="7" t="n"/>
      <c r="G3" s="7" t="n"/>
      <c r="H3" s="7" t="n"/>
    </row>
    <row r="4">
      <c r="A4" s="6" t="inlineStr">
        <is>
          <t>2026-04-25</t>
        </is>
      </c>
      <c r="B4" s="6" t="inlineStr">
        <is>
          <t>Saturday</t>
        </is>
      </c>
      <c r="C4" s="6" t="inlineStr">
        <is>
          <t>P1 This week: Ch 8 post-mortem + redo misses on blank Unit 8 Study Guide</t>
        </is>
      </c>
      <c r="D4" s="6" t="n"/>
      <c r="E4" s="6" t="n"/>
      <c r="F4" s="6" t="n"/>
      <c r="G4" s="6" t="n"/>
      <c r="H4" s="6" t="n"/>
    </row>
    <row r="5">
      <c r="A5" s="7" t="inlineStr">
        <is>
          <t>2026-04-26</t>
        </is>
      </c>
      <c r="B5" s="7" t="inlineStr">
        <is>
          <t>Sunday</t>
        </is>
      </c>
      <c r="C5" s="7" t="inlineStr">
        <is>
          <t>P1 This week: Ch 8 post-mortem + redo misses on blank Unit 8 Study Guide</t>
        </is>
      </c>
      <c r="D5" s="7" t="n"/>
      <c r="E5" s="7" t="n"/>
      <c r="F5" s="7" t="n"/>
      <c r="G5" s="7" t="n"/>
      <c r="H5" s="7" t="n"/>
    </row>
    <row r="6">
      <c r="A6" s="6" t="inlineStr">
        <is>
          <t>2026-04-27</t>
        </is>
      </c>
      <c r="B6" s="6" t="inlineStr">
        <is>
          <t>Monday</t>
        </is>
      </c>
      <c r="C6" s="6" t="inlineStr">
        <is>
          <t>P1 Week 1: Ch 6 exponents fluency + Ch 7 factoring (quadratic prereq)</t>
        </is>
      </c>
      <c r="D6" s="6" t="n"/>
      <c r="E6" s="6" t="n"/>
      <c r="F6" s="6" t="n"/>
      <c r="G6" s="6" t="n"/>
      <c r="H6" s="6" t="n"/>
    </row>
    <row r="7">
      <c r="A7" s="7" t="inlineStr">
        <is>
          <t>2026-04-28</t>
        </is>
      </c>
      <c r="B7" s="7" t="inlineStr">
        <is>
          <t>Tuesday</t>
        </is>
      </c>
      <c r="C7" s="7" t="inlineStr">
        <is>
          <t>P1 Week 1: Ch 6 exponents fluency + Ch 7 factoring (quadratic prereq)</t>
        </is>
      </c>
      <c r="D7" s="7" t="n"/>
      <c r="E7" s="7" t="n"/>
      <c r="F7" s="7" t="n"/>
      <c r="G7" s="7" t="n"/>
      <c r="H7" s="7" t="n"/>
    </row>
    <row r="8">
      <c r="A8" s="6" t="inlineStr">
        <is>
          <t>2026-04-29</t>
        </is>
      </c>
      <c r="B8" s="6" t="inlineStr">
        <is>
          <t>Wednesday</t>
        </is>
      </c>
      <c r="C8" s="6" t="inlineStr">
        <is>
          <t>P1 Week 1: Ch 6 exponents fluency + Ch 7 factoring (quadratic prereq)</t>
        </is>
      </c>
      <c r="D8" s="6" t="n"/>
      <c r="E8" s="6" t="n"/>
      <c r="F8" s="6" t="n"/>
      <c r="G8" s="6" t="n"/>
      <c r="H8" s="6" t="n"/>
    </row>
    <row r="9">
      <c r="A9" s="7" t="inlineStr">
        <is>
          <t>2026-04-30</t>
        </is>
      </c>
      <c r="B9" s="7" t="inlineStr">
        <is>
          <t>Thursday</t>
        </is>
      </c>
      <c r="C9" s="7" t="inlineStr">
        <is>
          <t>P1 Week 1: Ch 6 exponents fluency + Ch 7 factoring (quadratic prereq)</t>
        </is>
      </c>
      <c r="D9" s="7" t="n"/>
      <c r="E9" s="7" t="n"/>
      <c r="F9" s="7" t="n"/>
      <c r="G9" s="7" t="n"/>
      <c r="H9" s="7" t="n"/>
    </row>
    <row r="10">
      <c r="A10" s="6" t="inlineStr">
        <is>
          <t>2026-05-01</t>
        </is>
      </c>
      <c r="B10" s="6" t="inlineStr">
        <is>
          <t>Friday</t>
        </is>
      </c>
      <c r="C10" s="6" t="inlineStr">
        <is>
          <t>P1 Week 1: Ch 6 exponents fluency + Ch 7 factoring (quadratic prereq)</t>
        </is>
      </c>
      <c r="D10" s="6" t="n"/>
      <c r="E10" s="6" t="n"/>
      <c r="F10" s="6" t="n"/>
      <c r="G10" s="6" t="n"/>
      <c r="H10" s="6" t="n"/>
    </row>
    <row r="11">
      <c r="A11" s="7" t="inlineStr">
        <is>
          <t>2026-05-02</t>
        </is>
      </c>
      <c r="B11" s="7" t="inlineStr">
        <is>
          <t>Saturday</t>
        </is>
      </c>
      <c r="C11" s="7" t="inlineStr">
        <is>
          <t>P1 Week 1: Ch 6 exponents fluency + Ch 7 factoring (quadratic prereq)</t>
        </is>
      </c>
      <c r="D11" s="7" t="n"/>
      <c r="E11" s="7" t="n"/>
      <c r="F11" s="7" t="n"/>
      <c r="G11" s="7" t="n"/>
      <c r="H11" s="7" t="n"/>
    </row>
    <row r="12">
      <c r="A12" s="6" t="inlineStr">
        <is>
          <t>2026-05-03</t>
        </is>
      </c>
      <c r="B12" s="6" t="inlineStr">
        <is>
          <t>Sunday</t>
        </is>
      </c>
      <c r="C12" s="6" t="inlineStr">
        <is>
          <t>P1 Week 1: Ch 6 exponents fluency + Ch 7 factoring (quadratic prereq)</t>
        </is>
      </c>
      <c r="D12" s="6" t="n"/>
      <c r="E12" s="6" t="n"/>
      <c r="F12" s="6" t="n"/>
      <c r="G12" s="6" t="n"/>
      <c r="H12" s="6" t="n"/>
    </row>
    <row r="13">
      <c r="A13" s="7" t="inlineStr">
        <is>
          <t>2026-05-04</t>
        </is>
      </c>
      <c r="B13" s="7" t="inlineStr">
        <is>
          <t>Monday</t>
        </is>
      </c>
      <c r="C13" s="7" t="inlineStr">
        <is>
          <t>P1 Week 2: Ch 8 quadratics — solving by all 4 methods</t>
        </is>
      </c>
      <c r="D13" s="7" t="n"/>
      <c r="E13" s="7" t="n"/>
      <c r="F13" s="7" t="n"/>
      <c r="G13" s="7" t="n"/>
      <c r="H13" s="7" t="n"/>
    </row>
    <row r="14">
      <c r="A14" s="6" t="inlineStr">
        <is>
          <t>2026-05-05</t>
        </is>
      </c>
      <c r="B14" s="6" t="inlineStr">
        <is>
          <t>Tuesday</t>
        </is>
      </c>
      <c r="C14" s="6" t="inlineStr">
        <is>
          <t>P1 Week 2: Ch 8 quadratics — solving by all 4 methods</t>
        </is>
      </c>
      <c r="D14" s="6" t="n"/>
      <c r="E14" s="6" t="n"/>
      <c r="F14" s="6" t="n"/>
      <c r="G14" s="6" t="n"/>
      <c r="H14" s="6" t="n"/>
    </row>
    <row r="15">
      <c r="A15" s="7" t="inlineStr">
        <is>
          <t>2026-05-06</t>
        </is>
      </c>
      <c r="B15" s="7" t="inlineStr">
        <is>
          <t>Wednesday</t>
        </is>
      </c>
      <c r="C15" s="7" t="inlineStr">
        <is>
          <t>P1 Week 2: Ch 8 quadratics — solving by all 4 methods</t>
        </is>
      </c>
      <c r="D15" s="7" t="n"/>
      <c r="E15" s="7" t="n"/>
      <c r="F15" s="7" t="n"/>
      <c r="G15" s="7" t="n"/>
      <c r="H15" s="7" t="n"/>
    </row>
    <row r="16">
      <c r="A16" s="6" t="inlineStr">
        <is>
          <t>2026-05-07</t>
        </is>
      </c>
      <c r="B16" s="6" t="inlineStr">
        <is>
          <t>Thursday</t>
        </is>
      </c>
      <c r="C16" s="6" t="inlineStr">
        <is>
          <t>P1 Week 2: Ch 8 quadratics — solving by all 4 methods</t>
        </is>
      </c>
      <c r="D16" s="6" t="n"/>
      <c r="E16" s="6" t="n"/>
      <c r="F16" s="6" t="n"/>
      <c r="G16" s="6" t="n"/>
      <c r="H16" s="6" t="n"/>
    </row>
    <row r="17">
      <c r="A17" s="7" t="inlineStr">
        <is>
          <t>2026-05-08</t>
        </is>
      </c>
      <c r="B17" s="7" t="inlineStr">
        <is>
          <t>Friday</t>
        </is>
      </c>
      <c r="C17" s="7" t="inlineStr">
        <is>
          <t>P1 Week 2: Ch 8 quadratics — solving by all 4 methods</t>
        </is>
      </c>
      <c r="D17" s="7" t="n"/>
      <c r="E17" s="7" t="n"/>
      <c r="F17" s="7" t="n"/>
      <c r="G17" s="7" t="n"/>
      <c r="H17" s="7" t="n"/>
    </row>
    <row r="18">
      <c r="A18" s="6" t="inlineStr">
        <is>
          <t>2026-05-09</t>
        </is>
      </c>
      <c r="B18" s="6" t="inlineStr">
        <is>
          <t>Saturday</t>
        </is>
      </c>
      <c r="C18" s="6" t="inlineStr">
        <is>
          <t>P1 Week 2: Ch 8 quadratics — solving by all 4 methods</t>
        </is>
      </c>
      <c r="D18" s="6" t="n"/>
      <c r="E18" s="6" t="n"/>
      <c r="F18" s="6" t="n"/>
      <c r="G18" s="6" t="n"/>
      <c r="H18" s="6" t="n"/>
    </row>
    <row r="19">
      <c r="A19" s="7" t="inlineStr">
        <is>
          <t>2026-05-10</t>
        </is>
      </c>
      <c r="B19" s="7" t="inlineStr">
        <is>
          <t>Sunday</t>
        </is>
      </c>
      <c r="C19" s="7" t="inlineStr">
        <is>
          <t>P1 Week 2: Ch 8 quadratics — solving by all 4 methods</t>
        </is>
      </c>
      <c r="D19" s="7" t="n"/>
      <c r="E19" s="7" t="n"/>
      <c r="F19" s="7" t="n"/>
      <c r="G19" s="7" t="n"/>
      <c r="H19" s="7" t="n"/>
    </row>
    <row r="20">
      <c r="A20" s="6" t="inlineStr">
        <is>
          <t>2026-05-11</t>
        </is>
      </c>
      <c r="B20" s="6" t="inlineStr">
        <is>
          <t>Monday</t>
        </is>
      </c>
      <c r="C20" s="6" t="inlineStr">
        <is>
          <t>P1 Week 3: Ch 8 graphing + transformations + Ch 9 radicals/Pythagorean</t>
        </is>
      </c>
      <c r="D20" s="6" t="n"/>
      <c r="E20" s="6" t="n"/>
      <c r="F20" s="6" t="n"/>
      <c r="G20" s="6" t="n"/>
      <c r="H20" s="6" t="n"/>
    </row>
    <row r="21">
      <c r="A21" s="7" t="inlineStr">
        <is>
          <t>2026-05-12</t>
        </is>
      </c>
      <c r="B21" s="7" t="inlineStr">
        <is>
          <t>Tuesday</t>
        </is>
      </c>
      <c r="C21" s="7" t="inlineStr">
        <is>
          <t>P1 Week 3: Ch 8 graphing + transformations + Ch 9 radicals/Pythagorean</t>
        </is>
      </c>
      <c r="D21" s="7" t="n"/>
      <c r="E21" s="7" t="n"/>
      <c r="F21" s="7" t="n"/>
      <c r="G21" s="7" t="n"/>
      <c r="H21" s="7" t="n"/>
    </row>
    <row r="22">
      <c r="A22" s="6" t="inlineStr">
        <is>
          <t>2026-05-13</t>
        </is>
      </c>
      <c r="B22" s="6" t="inlineStr">
        <is>
          <t>Wednesday</t>
        </is>
      </c>
      <c r="C22" s="6" t="inlineStr">
        <is>
          <t>P1 Week 3: Ch 8 graphing + transformations + Ch 9 radicals/Pythagorean</t>
        </is>
      </c>
      <c r="D22" s="6" t="n"/>
      <c r="E22" s="6" t="n"/>
      <c r="F22" s="6" t="n"/>
      <c r="G22" s="6" t="n"/>
      <c r="H22" s="6" t="n"/>
    </row>
    <row r="23">
      <c r="A23" s="7" t="inlineStr">
        <is>
          <t>2026-05-14</t>
        </is>
      </c>
      <c r="B23" s="7" t="inlineStr">
        <is>
          <t>Thursday</t>
        </is>
      </c>
      <c r="C23" s="7" t="inlineStr">
        <is>
          <t>P1 Week 3: Ch 8 graphing + transformations + Ch 9 radicals/Pythagorean</t>
        </is>
      </c>
      <c r="D23" s="7" t="n"/>
      <c r="E23" s="7" t="n"/>
      <c r="F23" s="7" t="n"/>
      <c r="G23" s="7" t="n"/>
      <c r="H23" s="7" t="n"/>
    </row>
    <row r="24">
      <c r="A24" s="6" t="inlineStr">
        <is>
          <t>2026-05-15</t>
        </is>
      </c>
      <c r="B24" s="6" t="inlineStr">
        <is>
          <t>Friday</t>
        </is>
      </c>
      <c r="C24" s="6" t="inlineStr">
        <is>
          <t>P1 Week 3: Ch 8 graphing + transformations + Ch 9 radicals/Pythagorean</t>
        </is>
      </c>
      <c r="D24" s="6" t="n"/>
      <c r="E24" s="6" t="n"/>
      <c r="F24" s="6" t="n"/>
      <c r="G24" s="6" t="n"/>
      <c r="H24" s="6" t="n"/>
    </row>
    <row r="25">
      <c r="A25" s="7" t="inlineStr">
        <is>
          <t>2026-05-16</t>
        </is>
      </c>
      <c r="B25" s="7" t="inlineStr">
        <is>
          <t>Saturday</t>
        </is>
      </c>
      <c r="C25" s="7" t="inlineStr">
        <is>
          <t>P1 Week 3: Ch 8 graphing + transformations + Ch 9 radicals/Pythagorean</t>
        </is>
      </c>
      <c r="D25" s="7" t="n"/>
      <c r="E25" s="7" t="n"/>
      <c r="F25" s="7" t="n"/>
      <c r="G25" s="7" t="n"/>
      <c r="H25" s="7" t="n"/>
    </row>
    <row r="26">
      <c r="A26" s="6" t="inlineStr">
        <is>
          <t>2026-05-17</t>
        </is>
      </c>
      <c r="B26" s="6" t="inlineStr">
        <is>
          <t>Sunday</t>
        </is>
      </c>
      <c r="C26" s="6" t="inlineStr">
        <is>
          <t>P1 Week 3: Ch 8 graphing + transformations + Ch 9 radicals/Pythagorean</t>
        </is>
      </c>
      <c r="D26" s="6" t="n"/>
      <c r="E26" s="6" t="n"/>
      <c r="F26" s="6" t="n"/>
      <c r="G26" s="6" t="n"/>
      <c r="H26" s="6" t="n"/>
    </row>
    <row r="27">
      <c r="A27" s="7" t="inlineStr">
        <is>
          <t>2026-05-18</t>
        </is>
      </c>
      <c r="B27" s="7" t="inlineStr">
        <is>
          <t>Monday</t>
        </is>
      </c>
      <c r="C27" s="7" t="inlineStr">
        <is>
          <t>P1 Week 4: Mock Q4 exam (Ch 6-9) + overnight review before the real exam</t>
        </is>
      </c>
      <c r="D27" s="7" t="n"/>
      <c r="E27" s="7" t="n"/>
      <c r="F27" s="7" t="n"/>
      <c r="G27" s="7" t="n"/>
      <c r="H27" s="7" t="n"/>
    </row>
    <row r="28">
      <c r="A28" s="6" t="inlineStr">
        <is>
          <t>2026-05-19</t>
        </is>
      </c>
      <c r="B28" s="6" t="inlineStr">
        <is>
          <t>Tuesday</t>
        </is>
      </c>
      <c r="C28" s="6" t="inlineStr">
        <is>
          <t>P1 Week 4: Mock Q4 exam (Ch 6-9) + overnight review before the real exam</t>
        </is>
      </c>
      <c r="D28" s="6" t="n"/>
      <c r="E28" s="6" t="n"/>
      <c r="F28" s="6" t="n"/>
      <c r="G28" s="6" t="n"/>
      <c r="H28" s="6" t="n"/>
    </row>
    <row r="29">
      <c r="A29" s="7" t="inlineStr">
        <is>
          <t>2026-05-20</t>
        </is>
      </c>
      <c r="B29" s="7" t="inlineStr">
        <is>
          <t>Wednesday</t>
        </is>
      </c>
      <c r="C29" s="7" t="inlineStr">
        <is>
          <t>P1 Week 4: Mock Q4 exam (Ch 6-9) + overnight review before the real exam</t>
        </is>
      </c>
      <c r="D29" s="7" t="n"/>
      <c r="E29" s="7" t="n"/>
      <c r="F29" s="7" t="n"/>
      <c r="G29" s="7" t="n"/>
      <c r="H29" s="7" t="n"/>
    </row>
    <row r="30">
      <c r="A30" s="8" t="inlineStr">
        <is>
          <t>2026-05-21</t>
        </is>
      </c>
      <c r="B30" s="8" t="inlineStr">
        <is>
          <t>Thursday</t>
        </is>
      </c>
      <c r="C30" s="8" t="inlineStr">
        <is>
          <t>REST — school's out. Take the break. Come back strong Jun 1.</t>
        </is>
      </c>
      <c r="D30" s="8" t="inlineStr">
        <is>
          <t>Skipped</t>
        </is>
      </c>
      <c r="E30" s="8" t="n"/>
      <c r="F30" s="8" t="n"/>
      <c r="G30" s="8" t="n"/>
      <c r="H30" s="8" t="n"/>
    </row>
    <row r="31">
      <c r="A31" s="8" t="inlineStr">
        <is>
          <t>2026-05-22</t>
        </is>
      </c>
      <c r="B31" s="8" t="inlineStr">
        <is>
          <t>Friday</t>
        </is>
      </c>
      <c r="C31" s="8" t="inlineStr">
        <is>
          <t>REST — school's out. Take the break. Come back strong Jun 1.</t>
        </is>
      </c>
      <c r="D31" s="8" t="inlineStr">
        <is>
          <t>Skipped</t>
        </is>
      </c>
      <c r="E31" s="8" t="n"/>
      <c r="F31" s="8" t="n"/>
      <c r="G31" s="8" t="n"/>
      <c r="H31" s="8" t="n"/>
    </row>
    <row r="32">
      <c r="A32" s="8" t="inlineStr">
        <is>
          <t>2026-05-23</t>
        </is>
      </c>
      <c r="B32" s="8" t="inlineStr">
        <is>
          <t>Saturday</t>
        </is>
      </c>
      <c r="C32" s="8" t="inlineStr">
        <is>
          <t>REST — school's out. Take the break. Come back strong Jun 1.</t>
        </is>
      </c>
      <c r="D32" s="8" t="inlineStr">
        <is>
          <t>Skipped</t>
        </is>
      </c>
      <c r="E32" s="8" t="n"/>
      <c r="F32" s="8" t="n"/>
      <c r="G32" s="8" t="n"/>
      <c r="H32" s="8" t="n"/>
    </row>
    <row r="33">
      <c r="A33" s="8" t="inlineStr">
        <is>
          <t>2026-05-24</t>
        </is>
      </c>
      <c r="B33" s="8" t="inlineStr">
        <is>
          <t>Sunday</t>
        </is>
      </c>
      <c r="C33" s="8" t="inlineStr">
        <is>
          <t>REST — school's out. Take the break. Come back strong Jun 1.</t>
        </is>
      </c>
      <c r="D33" s="8" t="inlineStr">
        <is>
          <t>Skipped</t>
        </is>
      </c>
      <c r="E33" s="8" t="n"/>
      <c r="F33" s="8" t="n"/>
      <c r="G33" s="8" t="n"/>
      <c r="H33" s="8" t="n"/>
    </row>
    <row r="34">
      <c r="A34" s="8" t="inlineStr">
        <is>
          <t>2026-05-25</t>
        </is>
      </c>
      <c r="B34" s="8" t="inlineStr">
        <is>
          <t>Monday</t>
        </is>
      </c>
      <c r="C34" s="8" t="inlineStr">
        <is>
          <t>REST — school's out. Take the break. Come back strong Jun 1.</t>
        </is>
      </c>
      <c r="D34" s="8" t="inlineStr">
        <is>
          <t>Skipped</t>
        </is>
      </c>
      <c r="E34" s="8" t="n"/>
      <c r="F34" s="8" t="n"/>
      <c r="G34" s="8" t="n"/>
      <c r="H34" s="8" t="n"/>
    </row>
    <row r="35">
      <c r="A35" s="8" t="inlineStr">
        <is>
          <t>2026-05-26</t>
        </is>
      </c>
      <c r="B35" s="8" t="inlineStr">
        <is>
          <t>Tuesday</t>
        </is>
      </c>
      <c r="C35" s="8" t="inlineStr">
        <is>
          <t>REST — school's out. Take the break. Come back strong Jun 1.</t>
        </is>
      </c>
      <c r="D35" s="8" t="inlineStr">
        <is>
          <t>Skipped</t>
        </is>
      </c>
      <c r="E35" s="8" t="n"/>
      <c r="F35" s="8" t="n"/>
      <c r="G35" s="8" t="n"/>
      <c r="H35" s="8" t="n"/>
    </row>
    <row r="36">
      <c r="A36" s="8" t="inlineStr">
        <is>
          <t>2026-05-27</t>
        </is>
      </c>
      <c r="B36" s="8" t="inlineStr">
        <is>
          <t>Wednesday</t>
        </is>
      </c>
      <c r="C36" s="8" t="inlineStr">
        <is>
          <t>REST — school's out. Take the break. Come back strong Jun 1.</t>
        </is>
      </c>
      <c r="D36" s="8" t="inlineStr">
        <is>
          <t>Skipped</t>
        </is>
      </c>
      <c r="E36" s="8" t="n"/>
      <c r="F36" s="8" t="n"/>
      <c r="G36" s="8" t="n"/>
      <c r="H36" s="8" t="n"/>
    </row>
    <row r="37">
      <c r="A37" s="8" t="inlineStr">
        <is>
          <t>2026-05-28</t>
        </is>
      </c>
      <c r="B37" s="8" t="inlineStr">
        <is>
          <t>Thursday</t>
        </is>
      </c>
      <c r="C37" s="8" t="inlineStr">
        <is>
          <t>REST — school's out. Take the break. Come back strong Jun 1.</t>
        </is>
      </c>
      <c r="D37" s="8" t="inlineStr">
        <is>
          <t>Skipped</t>
        </is>
      </c>
      <c r="E37" s="8" t="n"/>
      <c r="F37" s="8" t="n"/>
      <c r="G37" s="8" t="n"/>
      <c r="H37" s="8" t="n"/>
    </row>
    <row r="38">
      <c r="A38" s="8" t="inlineStr">
        <is>
          <t>2026-05-29</t>
        </is>
      </c>
      <c r="B38" s="8" t="inlineStr">
        <is>
          <t>Friday</t>
        </is>
      </c>
      <c r="C38" s="8" t="inlineStr">
        <is>
          <t>REST — school's out. Take the break. Come back strong Jun 1.</t>
        </is>
      </c>
      <c r="D38" s="8" t="inlineStr">
        <is>
          <t>Skipped</t>
        </is>
      </c>
      <c r="E38" s="8" t="n"/>
      <c r="F38" s="8" t="n"/>
      <c r="G38" s="8" t="n"/>
      <c r="H38" s="8" t="n"/>
    </row>
    <row r="39">
      <c r="A39" s="8" t="inlineStr">
        <is>
          <t>2026-05-30</t>
        </is>
      </c>
      <c r="B39" s="8" t="inlineStr">
        <is>
          <t>Saturday</t>
        </is>
      </c>
      <c r="C39" s="8" t="inlineStr">
        <is>
          <t>REST — school's out. Take the break. Come back strong Jun 1.</t>
        </is>
      </c>
      <c r="D39" s="8" t="inlineStr">
        <is>
          <t>Skipped</t>
        </is>
      </c>
      <c r="E39" s="8" t="n"/>
      <c r="F39" s="8" t="n"/>
      <c r="G39" s="8" t="n"/>
      <c r="H39" s="8" t="n"/>
    </row>
    <row r="40">
      <c r="A40" s="8" t="inlineStr">
        <is>
          <t>2026-05-31</t>
        </is>
      </c>
      <c r="B40" s="8" t="inlineStr">
        <is>
          <t>Sunday</t>
        </is>
      </c>
      <c r="C40" s="8" t="inlineStr">
        <is>
          <t>REST — school's out. Take the break. Come back strong Jun 1.</t>
        </is>
      </c>
      <c r="D40" s="8" t="inlineStr">
        <is>
          <t>Skipped</t>
        </is>
      </c>
      <c r="E40" s="8" t="n"/>
      <c r="F40" s="8" t="n"/>
      <c r="G40" s="8" t="n"/>
      <c r="H40" s="8" t="n"/>
    </row>
    <row r="41">
      <c r="A41" s="7" t="inlineStr">
        <is>
          <t>2026-06-01</t>
        </is>
      </c>
      <c r="B41" s="7" t="inlineStr">
        <is>
          <t>Monday</t>
        </is>
      </c>
      <c r="C41" s="7" t="inlineStr">
        <is>
          <t>P2 Week 1: Arithmetic &amp; fraction fluency reset + inequalities</t>
        </is>
      </c>
      <c r="D41" s="7" t="n"/>
      <c r="E41" s="7" t="n"/>
      <c r="F41" s="7" t="n"/>
      <c r="G41" s="7" t="n"/>
      <c r="H41" s="7" t="n"/>
    </row>
    <row r="42">
      <c r="A42" s="6" t="inlineStr">
        <is>
          <t>2026-06-02</t>
        </is>
      </c>
      <c r="B42" s="6" t="inlineStr">
        <is>
          <t>Tuesday</t>
        </is>
      </c>
      <c r="C42" s="6" t="inlineStr">
        <is>
          <t>P2 Week 1: Arithmetic &amp; fraction fluency reset + inequalities</t>
        </is>
      </c>
      <c r="D42" s="6" t="n"/>
      <c r="E42" s="6" t="n"/>
      <c r="F42" s="6" t="n"/>
      <c r="G42" s="6" t="n"/>
      <c r="H42" s="6" t="n"/>
    </row>
    <row r="43">
      <c r="A43" s="7" t="inlineStr">
        <is>
          <t>2026-06-03</t>
        </is>
      </c>
      <c r="B43" s="7" t="inlineStr">
        <is>
          <t>Wednesday</t>
        </is>
      </c>
      <c r="C43" s="7" t="inlineStr">
        <is>
          <t>P2 Week 1: Arithmetic &amp; fraction fluency reset + inequalities</t>
        </is>
      </c>
      <c r="D43" s="7" t="n"/>
      <c r="E43" s="7" t="n"/>
      <c r="F43" s="7" t="n"/>
      <c r="G43" s="7" t="n"/>
      <c r="H43" s="7" t="n"/>
    </row>
    <row r="44">
      <c r="A44" s="6" t="inlineStr">
        <is>
          <t>2026-06-04</t>
        </is>
      </c>
      <c r="B44" s="6" t="inlineStr">
        <is>
          <t>Thursday</t>
        </is>
      </c>
      <c r="C44" s="6" t="inlineStr">
        <is>
          <t>P2 Week 1: Arithmetic &amp; fraction fluency reset + inequalities</t>
        </is>
      </c>
      <c r="D44" s="6" t="n"/>
      <c r="E44" s="6" t="n"/>
      <c r="F44" s="6" t="n"/>
      <c r="G44" s="6" t="n"/>
      <c r="H44" s="6" t="n"/>
    </row>
    <row r="45">
      <c r="A45" s="7" t="inlineStr">
        <is>
          <t>2026-06-05</t>
        </is>
      </c>
      <c r="B45" s="7" t="inlineStr">
        <is>
          <t>Friday</t>
        </is>
      </c>
      <c r="C45" s="7" t="inlineStr">
        <is>
          <t>P2 Week 1: Arithmetic &amp; fraction fluency reset + inequalities</t>
        </is>
      </c>
      <c r="D45" s="7" t="n"/>
      <c r="E45" s="7" t="n"/>
      <c r="F45" s="7" t="n"/>
      <c r="G45" s="7" t="n"/>
      <c r="H45" s="7" t="n"/>
    </row>
    <row r="46">
      <c r="A46" s="6" t="inlineStr">
        <is>
          <t>2026-06-06</t>
        </is>
      </c>
      <c r="B46" s="6" t="inlineStr">
        <is>
          <t>Saturday</t>
        </is>
      </c>
      <c r="C46" s="6" t="inlineStr">
        <is>
          <t>P2 Week 1: Arithmetic &amp; fraction fluency reset + inequalities</t>
        </is>
      </c>
      <c r="D46" s="6" t="n"/>
      <c r="E46" s="6" t="n"/>
      <c r="F46" s="6" t="n"/>
      <c r="G46" s="6" t="n"/>
      <c r="H46" s="6" t="n"/>
    </row>
    <row r="47">
      <c r="A47" s="7" t="inlineStr">
        <is>
          <t>2026-06-07</t>
        </is>
      </c>
      <c r="B47" s="7" t="inlineStr">
        <is>
          <t>Sunday</t>
        </is>
      </c>
      <c r="C47" s="7" t="inlineStr">
        <is>
          <t>P2 Week 1: Arithmetic &amp; fraction fluency reset + inequalities</t>
        </is>
      </c>
      <c r="D47" s="7" t="n"/>
      <c r="E47" s="7" t="n"/>
      <c r="F47" s="7" t="n"/>
      <c r="G47" s="7" t="n"/>
      <c r="H47" s="7" t="n"/>
    </row>
    <row r="48">
      <c r="A48" s="6" t="inlineStr">
        <is>
          <t>2026-06-08</t>
        </is>
      </c>
      <c r="B48" s="6" t="inlineStr">
        <is>
          <t>Monday</t>
        </is>
      </c>
      <c r="C48" s="6" t="inlineStr">
        <is>
          <t>P2 Week 2: Solving linear equations (Ch 2)</t>
        </is>
      </c>
      <c r="D48" s="6" t="n"/>
      <c r="E48" s="6" t="n"/>
      <c r="F48" s="6" t="n"/>
      <c r="G48" s="6" t="n"/>
      <c r="H48" s="6" t="n"/>
    </row>
    <row r="49">
      <c r="A49" s="7" t="inlineStr">
        <is>
          <t>2026-06-09</t>
        </is>
      </c>
      <c r="B49" s="7" t="inlineStr">
        <is>
          <t>Tuesday</t>
        </is>
      </c>
      <c r="C49" s="7" t="inlineStr">
        <is>
          <t>P2 Week 2: Solving linear equations (Ch 2)</t>
        </is>
      </c>
      <c r="D49" s="7" t="n"/>
      <c r="E49" s="7" t="n"/>
      <c r="F49" s="7" t="n"/>
      <c r="G49" s="7" t="n"/>
      <c r="H49" s="7" t="n"/>
    </row>
    <row r="50">
      <c r="A50" s="6" t="inlineStr">
        <is>
          <t>2026-06-10</t>
        </is>
      </c>
      <c r="B50" s="6" t="inlineStr">
        <is>
          <t>Wednesday</t>
        </is>
      </c>
      <c r="C50" s="6" t="inlineStr">
        <is>
          <t>P2 Week 2: Solving linear equations (Ch 2)</t>
        </is>
      </c>
      <c r="D50" s="6" t="n"/>
      <c r="E50" s="6" t="n"/>
      <c r="F50" s="6" t="n"/>
      <c r="G50" s="6" t="n"/>
      <c r="H50" s="6" t="n"/>
    </row>
    <row r="51">
      <c r="A51" s="7" t="inlineStr">
        <is>
          <t>2026-06-11</t>
        </is>
      </c>
      <c r="B51" s="7" t="inlineStr">
        <is>
          <t>Thursday</t>
        </is>
      </c>
      <c r="C51" s="7" t="inlineStr">
        <is>
          <t>P2 Week 2: Solving linear equations (Ch 2)</t>
        </is>
      </c>
      <c r="D51" s="7" t="n"/>
      <c r="E51" s="7" t="n"/>
      <c r="F51" s="7" t="n"/>
      <c r="G51" s="7" t="n"/>
      <c r="H51" s="7" t="n"/>
    </row>
    <row r="52">
      <c r="A52" s="6" t="inlineStr">
        <is>
          <t>2026-06-12</t>
        </is>
      </c>
      <c r="B52" s="6" t="inlineStr">
        <is>
          <t>Friday</t>
        </is>
      </c>
      <c r="C52" s="6" t="inlineStr">
        <is>
          <t>P2 Week 2: Solving linear equations (Ch 2)</t>
        </is>
      </c>
      <c r="D52" s="6" t="n"/>
      <c r="E52" s="6" t="n"/>
      <c r="F52" s="6" t="n"/>
      <c r="G52" s="6" t="n"/>
      <c r="H52" s="6" t="n"/>
    </row>
    <row r="53">
      <c r="A53" s="7" t="inlineStr">
        <is>
          <t>2026-06-13</t>
        </is>
      </c>
      <c r="B53" s="7" t="inlineStr">
        <is>
          <t>Saturday</t>
        </is>
      </c>
      <c r="C53" s="7" t="inlineStr">
        <is>
          <t>P2 Week 2: Solving linear equations (Ch 2)</t>
        </is>
      </c>
      <c r="D53" s="7" t="n"/>
      <c r="E53" s="7" t="n"/>
      <c r="F53" s="7" t="n"/>
      <c r="G53" s="7" t="n"/>
      <c r="H53" s="7" t="n"/>
    </row>
    <row r="54">
      <c r="A54" s="6" t="inlineStr">
        <is>
          <t>2026-06-14</t>
        </is>
      </c>
      <c r="B54" s="6" t="inlineStr">
        <is>
          <t>Sunday</t>
        </is>
      </c>
      <c r="C54" s="6" t="inlineStr">
        <is>
          <t>P2 Week 2: Solving linear equations (Ch 2)</t>
        </is>
      </c>
      <c r="D54" s="6" t="n"/>
      <c r="E54" s="6" t="n"/>
      <c r="F54" s="6" t="n"/>
      <c r="G54" s="6" t="n"/>
      <c r="H54" s="6" t="n"/>
    </row>
    <row r="55">
      <c r="A55" s="7" t="inlineStr">
        <is>
          <t>2026-06-15</t>
        </is>
      </c>
      <c r="B55" s="7" t="inlineStr">
        <is>
          <t>Monday</t>
        </is>
      </c>
      <c r="C55" s="7" t="inlineStr">
        <is>
          <t>P2 Week 3: Functions (Ch 3) + graphing linear (Ch 4)</t>
        </is>
      </c>
      <c r="D55" s="7" t="n"/>
      <c r="E55" s="7" t="n"/>
      <c r="F55" s="7" t="n"/>
      <c r="G55" s="7" t="n"/>
      <c r="H55" s="7" t="n"/>
    </row>
    <row r="56">
      <c r="A56" s="6" t="inlineStr">
        <is>
          <t>2026-06-16</t>
        </is>
      </c>
      <c r="B56" s="6" t="inlineStr">
        <is>
          <t>Tuesday</t>
        </is>
      </c>
      <c r="C56" s="6" t="inlineStr">
        <is>
          <t>P2 Week 3: Functions (Ch 3) + graphing linear (Ch 4)</t>
        </is>
      </c>
      <c r="D56" s="6" t="n"/>
      <c r="E56" s="6" t="n"/>
      <c r="F56" s="6" t="n"/>
      <c r="G56" s="6" t="n"/>
      <c r="H56" s="6" t="n"/>
    </row>
    <row r="57">
      <c r="A57" s="7" t="inlineStr">
        <is>
          <t>2026-06-17</t>
        </is>
      </c>
      <c r="B57" s="7" t="inlineStr">
        <is>
          <t>Wednesday</t>
        </is>
      </c>
      <c r="C57" s="7" t="inlineStr">
        <is>
          <t>P2 Week 3: Functions (Ch 3) + graphing linear (Ch 4)</t>
        </is>
      </c>
      <c r="D57" s="7" t="n"/>
      <c r="E57" s="7" t="n"/>
      <c r="F57" s="7" t="n"/>
      <c r="G57" s="7" t="n"/>
      <c r="H57" s="7" t="n"/>
    </row>
    <row r="58">
      <c r="A58" s="6" t="inlineStr">
        <is>
          <t>2026-06-18</t>
        </is>
      </c>
      <c r="B58" s="6" t="inlineStr">
        <is>
          <t>Thursday</t>
        </is>
      </c>
      <c r="C58" s="6" t="inlineStr">
        <is>
          <t>P2 Week 3: Functions (Ch 3) + graphing linear (Ch 4)</t>
        </is>
      </c>
      <c r="D58" s="6" t="n"/>
      <c r="E58" s="6" t="n"/>
      <c r="F58" s="6" t="n"/>
      <c r="G58" s="6" t="n"/>
      <c r="H58" s="6" t="n"/>
    </row>
    <row r="59">
      <c r="A59" s="7" t="inlineStr">
        <is>
          <t>2026-06-19</t>
        </is>
      </c>
      <c r="B59" s="7" t="inlineStr">
        <is>
          <t>Friday</t>
        </is>
      </c>
      <c r="C59" s="7" t="inlineStr">
        <is>
          <t>P2 Week 3: Functions (Ch 3) + graphing linear (Ch 4)</t>
        </is>
      </c>
      <c r="D59" s="7" t="n"/>
      <c r="E59" s="7" t="n"/>
      <c r="F59" s="7" t="n"/>
      <c r="G59" s="7" t="n"/>
      <c r="H59" s="7" t="n"/>
    </row>
    <row r="60">
      <c r="A60" s="6" t="inlineStr">
        <is>
          <t>2026-06-20</t>
        </is>
      </c>
      <c r="B60" s="6" t="inlineStr">
        <is>
          <t>Saturday</t>
        </is>
      </c>
      <c r="C60" s="6" t="inlineStr">
        <is>
          <t>P2 Week 3: Functions (Ch 3) + graphing linear (Ch 4)</t>
        </is>
      </c>
      <c r="D60" s="6" t="n"/>
      <c r="E60" s="6" t="n"/>
      <c r="F60" s="6" t="n"/>
      <c r="G60" s="6" t="n"/>
      <c r="H60" s="6" t="n"/>
    </row>
    <row r="61">
      <c r="A61" s="7" t="inlineStr">
        <is>
          <t>2026-06-21</t>
        </is>
      </c>
      <c r="B61" s="7" t="inlineStr">
        <is>
          <t>Sunday</t>
        </is>
      </c>
      <c r="C61" s="7" t="inlineStr">
        <is>
          <t>P2 Week 3: Functions (Ch 3) + graphing linear (Ch 4)</t>
        </is>
      </c>
      <c r="D61" s="7" t="n"/>
      <c r="E61" s="7" t="n"/>
      <c r="F61" s="7" t="n"/>
      <c r="G61" s="7" t="n"/>
      <c r="H61" s="7" t="n"/>
    </row>
    <row r="62">
      <c r="A62" s="6" t="inlineStr">
        <is>
          <t>2026-06-22</t>
        </is>
      </c>
      <c r="B62" s="6" t="inlineStr">
        <is>
          <t>Monday</t>
        </is>
      </c>
      <c r="C62" s="6" t="inlineStr">
        <is>
          <t>P2 Week 4: Systems of equations (Ch 5) + radicals/Pythagorean/distance</t>
        </is>
      </c>
      <c r="D62" s="6" t="n"/>
      <c r="E62" s="6" t="n"/>
      <c r="F62" s="6" t="n"/>
      <c r="G62" s="6" t="n"/>
      <c r="H62" s="6" t="n"/>
    </row>
    <row r="63">
      <c r="A63" s="7" t="inlineStr">
        <is>
          <t>2026-06-23</t>
        </is>
      </c>
      <c r="B63" s="7" t="inlineStr">
        <is>
          <t>Tuesday</t>
        </is>
      </c>
      <c r="C63" s="7" t="inlineStr">
        <is>
          <t>P2 Week 4: Systems of equations (Ch 5) + radicals/Pythagorean/distance</t>
        </is>
      </c>
      <c r="D63" s="7" t="n"/>
      <c r="E63" s="7" t="n"/>
      <c r="F63" s="7" t="n"/>
      <c r="G63" s="7" t="n"/>
      <c r="H63" s="7" t="n"/>
    </row>
    <row r="64">
      <c r="A64" s="6" t="inlineStr">
        <is>
          <t>2026-06-24</t>
        </is>
      </c>
      <c r="B64" s="6" t="inlineStr">
        <is>
          <t>Wednesday</t>
        </is>
      </c>
      <c r="C64" s="6" t="inlineStr">
        <is>
          <t>P2 Week 4: Systems of equations (Ch 5) + radicals/Pythagorean/distance</t>
        </is>
      </c>
      <c r="D64" s="6" t="n"/>
      <c r="E64" s="6" t="n"/>
      <c r="F64" s="6" t="n"/>
      <c r="G64" s="6" t="n"/>
      <c r="H64" s="6" t="n"/>
    </row>
    <row r="65">
      <c r="A65" s="7" t="inlineStr">
        <is>
          <t>2026-06-25</t>
        </is>
      </c>
      <c r="B65" s="7" t="inlineStr">
        <is>
          <t>Thursday</t>
        </is>
      </c>
      <c r="C65" s="7" t="inlineStr">
        <is>
          <t>P2 Week 4: Systems of equations (Ch 5) + radicals/Pythagorean/distance</t>
        </is>
      </c>
      <c r="D65" s="7" t="n"/>
      <c r="E65" s="7" t="n"/>
      <c r="F65" s="7" t="n"/>
      <c r="G65" s="7" t="n"/>
      <c r="H65" s="7" t="n"/>
    </row>
    <row r="66">
      <c r="A66" s="6" t="inlineStr">
        <is>
          <t>2026-06-26</t>
        </is>
      </c>
      <c r="B66" s="6" t="inlineStr">
        <is>
          <t>Friday</t>
        </is>
      </c>
      <c r="C66" s="6" t="inlineStr">
        <is>
          <t>P2 Week 4: Systems of equations (Ch 5) + radicals/Pythagorean/distance</t>
        </is>
      </c>
      <c r="D66" s="6" t="n"/>
      <c r="E66" s="6" t="n"/>
      <c r="F66" s="6" t="n"/>
      <c r="G66" s="6" t="n"/>
      <c r="H66" s="6" t="n"/>
    </row>
    <row r="67">
      <c r="A67" s="7" t="inlineStr">
        <is>
          <t>2026-06-27</t>
        </is>
      </c>
      <c r="B67" s="7" t="inlineStr">
        <is>
          <t>Saturday</t>
        </is>
      </c>
      <c r="C67" s="7" t="inlineStr">
        <is>
          <t>P2 Week 4: Systems of equations (Ch 5) + radicals/Pythagorean/distance</t>
        </is>
      </c>
      <c r="D67" s="7" t="n"/>
      <c r="E67" s="7" t="n"/>
      <c r="F67" s="7" t="n"/>
      <c r="G67" s="7" t="n"/>
      <c r="H67" s="7" t="n"/>
    </row>
    <row r="68">
      <c r="A68" s="6" t="inlineStr">
        <is>
          <t>2026-06-28</t>
        </is>
      </c>
      <c r="B68" s="6" t="inlineStr">
        <is>
          <t>Sunday</t>
        </is>
      </c>
      <c r="C68" s="6" t="inlineStr">
        <is>
          <t>P2 Week 4: Systems of equations (Ch 5) + radicals/Pythagorean/distance</t>
        </is>
      </c>
      <c r="D68" s="6" t="n"/>
      <c r="E68" s="6" t="n"/>
      <c r="F68" s="6" t="n"/>
      <c r="G68" s="6" t="n"/>
      <c r="H68" s="6" t="n"/>
    </row>
    <row r="69">
      <c r="A69" s="7" t="inlineStr">
        <is>
          <t>2026-06-29</t>
        </is>
      </c>
      <c r="B69" s="7" t="inlineStr">
        <is>
          <t>Monday</t>
        </is>
      </c>
      <c r="C69" s="7" t="inlineStr">
        <is>
          <t>P2 Week 5: Exponents + polynomials basics (Ch 6 + early 7)</t>
        </is>
      </c>
      <c r="D69" s="7" t="n"/>
      <c r="E69" s="7" t="n"/>
      <c r="F69" s="7" t="n"/>
      <c r="G69" s="7" t="n"/>
      <c r="H69" s="7" t="n"/>
    </row>
    <row r="70">
      <c r="A70" s="6" t="inlineStr">
        <is>
          <t>2026-06-30</t>
        </is>
      </c>
      <c r="B70" s="6" t="inlineStr">
        <is>
          <t>Tuesday</t>
        </is>
      </c>
      <c r="C70" s="6" t="inlineStr">
        <is>
          <t>P2 Week 5: Exponents + polynomials basics (Ch 6 + early 7)</t>
        </is>
      </c>
      <c r="D70" s="6" t="n"/>
      <c r="E70" s="6" t="n"/>
      <c r="F70" s="6" t="n"/>
      <c r="G70" s="6" t="n"/>
      <c r="H70" s="6" t="n"/>
    </row>
    <row r="71">
      <c r="A71" s="7" t="inlineStr">
        <is>
          <t>2026-07-01</t>
        </is>
      </c>
      <c r="B71" s="7" t="inlineStr">
        <is>
          <t>Wednesday</t>
        </is>
      </c>
      <c r="C71" s="7" t="inlineStr">
        <is>
          <t>P2 Week 5: Exponents + polynomials basics (Ch 6 + early 7)</t>
        </is>
      </c>
      <c r="D71" s="7" t="n"/>
      <c r="E71" s="7" t="n"/>
      <c r="F71" s="7" t="n"/>
      <c r="G71" s="7" t="n"/>
      <c r="H71" s="7" t="n"/>
    </row>
    <row r="72">
      <c r="A72" s="6" t="inlineStr">
        <is>
          <t>2026-07-02</t>
        </is>
      </c>
      <c r="B72" s="6" t="inlineStr">
        <is>
          <t>Thursday</t>
        </is>
      </c>
      <c r="C72" s="6" t="inlineStr">
        <is>
          <t>P2 Week 5: Exponents + polynomials basics (Ch 6 + early 7)</t>
        </is>
      </c>
      <c r="D72" s="6" t="n"/>
      <c r="E72" s="6" t="n"/>
      <c r="F72" s="6" t="n"/>
      <c r="G72" s="6" t="n"/>
      <c r="H72" s="6" t="n"/>
    </row>
    <row r="73">
      <c r="A73" s="7" t="inlineStr">
        <is>
          <t>2026-07-03</t>
        </is>
      </c>
      <c r="B73" s="7" t="inlineStr">
        <is>
          <t>Friday</t>
        </is>
      </c>
      <c r="C73" s="7" t="inlineStr">
        <is>
          <t>P2 Week 5: Exponents + polynomials basics (Ch 6 + early 7)</t>
        </is>
      </c>
      <c r="D73" s="7" t="n"/>
      <c r="E73" s="7" t="n"/>
      <c r="F73" s="7" t="n"/>
      <c r="G73" s="7" t="n"/>
      <c r="H73" s="7" t="n"/>
    </row>
    <row r="74">
      <c r="A74" s="6" t="inlineStr">
        <is>
          <t>2026-07-04</t>
        </is>
      </c>
      <c r="B74" s="6" t="inlineStr">
        <is>
          <t>Saturday</t>
        </is>
      </c>
      <c r="C74" s="6" t="inlineStr">
        <is>
          <t>P2 Week 5: Exponents + polynomials basics (Ch 6 + early 7)</t>
        </is>
      </c>
      <c r="D74" s="6" t="n"/>
      <c r="E74" s="6" t="n"/>
      <c r="F74" s="6" t="n"/>
      <c r="G74" s="6" t="n"/>
      <c r="H74" s="6" t="n"/>
    </row>
    <row r="75">
      <c r="A75" s="7" t="inlineStr">
        <is>
          <t>2026-07-05</t>
        </is>
      </c>
      <c r="B75" s="7" t="inlineStr">
        <is>
          <t>Sunday</t>
        </is>
      </c>
      <c r="C75" s="7" t="inlineStr">
        <is>
          <t>P2 Week 5: Exponents + polynomials basics (Ch 6 + early 7)</t>
        </is>
      </c>
      <c r="D75" s="7" t="n"/>
      <c r="E75" s="7" t="n"/>
      <c r="F75" s="7" t="n"/>
      <c r="G75" s="7" t="n"/>
      <c r="H75" s="7" t="n"/>
    </row>
    <row r="76">
      <c r="A76" s="6" t="inlineStr">
        <is>
          <t>2026-07-06</t>
        </is>
      </c>
      <c r="B76" s="6" t="inlineStr">
        <is>
          <t>Monday</t>
        </is>
      </c>
      <c r="C76" s="6" t="inlineStr">
        <is>
          <t>P2 Week 6: Factoring + solving quadratics — full Ch 7–8 rebuild</t>
        </is>
      </c>
      <c r="D76" s="6" t="n"/>
      <c r="E76" s="6" t="n"/>
      <c r="F76" s="6" t="n"/>
      <c r="G76" s="6" t="n"/>
      <c r="H76" s="6" t="n"/>
    </row>
    <row r="77">
      <c r="A77" s="7" t="inlineStr">
        <is>
          <t>2026-07-07</t>
        </is>
      </c>
      <c r="B77" s="7" t="inlineStr">
        <is>
          <t>Tuesday</t>
        </is>
      </c>
      <c r="C77" s="7" t="inlineStr">
        <is>
          <t>P2 Week 6: Factoring + solving quadratics — full Ch 7–8 rebuild</t>
        </is>
      </c>
      <c r="D77" s="7" t="n"/>
      <c r="E77" s="7" t="n"/>
      <c r="F77" s="7" t="n"/>
      <c r="G77" s="7" t="n"/>
      <c r="H77" s="7" t="n"/>
    </row>
    <row r="78">
      <c r="A78" s="6" t="inlineStr">
        <is>
          <t>2026-07-08</t>
        </is>
      </c>
      <c r="B78" s="6" t="inlineStr">
        <is>
          <t>Wednesday</t>
        </is>
      </c>
      <c r="C78" s="6" t="inlineStr">
        <is>
          <t>P2 Week 6: Factoring + solving quadratics — full Ch 7–8 rebuild</t>
        </is>
      </c>
      <c r="D78" s="6" t="n"/>
      <c r="E78" s="6" t="n"/>
      <c r="F78" s="6" t="n"/>
      <c r="G78" s="6" t="n"/>
      <c r="H78" s="6" t="n"/>
    </row>
    <row r="79">
      <c r="A79" s="7" t="inlineStr">
        <is>
          <t>2026-07-09</t>
        </is>
      </c>
      <c r="B79" s="7" t="inlineStr">
        <is>
          <t>Thursday</t>
        </is>
      </c>
      <c r="C79" s="7" t="inlineStr">
        <is>
          <t>P2 Week 6: Factoring + solving quadratics — full Ch 7–8 rebuild</t>
        </is>
      </c>
      <c r="D79" s="7" t="n"/>
      <c r="E79" s="7" t="n"/>
      <c r="F79" s="7" t="n"/>
      <c r="G79" s="7" t="n"/>
      <c r="H79" s="7" t="n"/>
    </row>
    <row r="80">
      <c r="A80" s="6" t="inlineStr">
        <is>
          <t>2026-07-10</t>
        </is>
      </c>
      <c r="B80" s="6" t="inlineStr">
        <is>
          <t>Friday</t>
        </is>
      </c>
      <c r="C80" s="6" t="inlineStr">
        <is>
          <t>P2 Week 6: Factoring + solving quadratics — full Ch 7–8 rebuild</t>
        </is>
      </c>
      <c r="D80" s="6" t="n"/>
      <c r="E80" s="6" t="n"/>
      <c r="F80" s="6" t="n"/>
      <c r="G80" s="6" t="n"/>
      <c r="H80" s="6" t="n"/>
    </row>
    <row r="81">
      <c r="A81" s="7" t="inlineStr">
        <is>
          <t>2026-07-11</t>
        </is>
      </c>
      <c r="B81" s="7" t="inlineStr">
        <is>
          <t>Saturday</t>
        </is>
      </c>
      <c r="C81" s="7" t="inlineStr">
        <is>
          <t>P2 Week 6: Factoring + solving quadratics — full Ch 7–8 rebuild</t>
        </is>
      </c>
      <c r="D81" s="7" t="n"/>
      <c r="E81" s="7" t="n"/>
      <c r="F81" s="7" t="n"/>
      <c r="G81" s="7" t="n"/>
      <c r="H81" s="7" t="n"/>
    </row>
    <row r="82">
      <c r="A82" s="6" t="inlineStr">
        <is>
          <t>2026-07-12</t>
        </is>
      </c>
      <c r="B82" s="6" t="inlineStr">
        <is>
          <t>Sunday</t>
        </is>
      </c>
      <c r="C82" s="6" t="inlineStr">
        <is>
          <t>P2 Week 6: Factoring + solving quadratics — full Ch 7–8 rebuild</t>
        </is>
      </c>
      <c r="D82" s="6" t="n"/>
      <c r="E82" s="6" t="n"/>
      <c r="F82" s="6" t="n"/>
      <c r="G82" s="6" t="n"/>
      <c r="H82" s="6" t="n"/>
    </row>
    <row r="83">
      <c r="A83" s="7" t="inlineStr">
        <is>
          <t>2026-07-13</t>
        </is>
      </c>
      <c r="B83" s="7" t="inlineStr">
        <is>
          <t>Monday</t>
        </is>
      </c>
      <c r="C83" s="7" t="inlineStr">
        <is>
          <t>P2 Week 7 (partial): Comprehensive mock final + go/no-go decision</t>
        </is>
      </c>
      <c r="D83" s="7" t="n"/>
      <c r="E83" s="7" t="n"/>
      <c r="F83" s="7" t="n"/>
      <c r="G83" s="7" t="n"/>
      <c r="H83" s="7" t="n"/>
    </row>
    <row r="84">
      <c r="A84" s="6" t="inlineStr">
        <is>
          <t>2026-07-14</t>
        </is>
      </c>
      <c r="B84" s="6" t="inlineStr">
        <is>
          <t>Tuesday</t>
        </is>
      </c>
      <c r="C84" s="6" t="inlineStr">
        <is>
          <t>P2 Week 7 (partial): Comprehensive mock final + go/no-go decision</t>
        </is>
      </c>
      <c r="D84" s="6" t="n"/>
      <c r="E84" s="6" t="n"/>
      <c r="F84" s="6" t="n"/>
      <c r="G84" s="6" t="n"/>
      <c r="H84" s="6" t="n"/>
    </row>
    <row r="85">
      <c r="A85" s="7" t="inlineStr">
        <is>
          <t>2026-07-15</t>
        </is>
      </c>
      <c r="B85" s="7" t="inlineStr">
        <is>
          <t>Wednesday</t>
        </is>
      </c>
      <c r="C85" s="7" t="inlineStr">
        <is>
          <t>P2 Week 7 (partial): Comprehensive mock final + go/no-go decision</t>
        </is>
      </c>
      <c r="D85" s="7" t="n"/>
      <c r="E85" s="7" t="n"/>
      <c r="F85" s="7" t="n"/>
      <c r="G85" s="7" t="n"/>
      <c r="H85" s="7" t="n"/>
    </row>
  </sheetData>
  <conditionalFormatting sqref="D2:D85">
    <cfRule type="cellIs" priority="1" operator="equal" dxfId="0" stopIfTrue="0">
      <formula>"Done"</formula>
    </cfRule>
    <cfRule type="cellIs" priority="2" operator="equal" dxfId="1" stopIfTrue="0">
      <formula>"Skipped"</formula>
    </cfRule>
    <cfRule type="cellIs" priority="3" operator="equal" dxfId="2" stopIfTrue="0">
      <formula>"Partial"</formula>
    </cfRule>
  </conditionalFormatting>
  <dataValidations count="1">
    <dataValidation sqref="D2:D85" showDropDown="0" showInputMessage="0" showErrorMessage="0" allowBlank="1" type="list">
      <formula1>"Done,Skipped,Partial"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14" customWidth="1" min="4" max="4"/>
    <col width="10" customWidth="1" min="5" max="5"/>
    <col width="36" customWidth="1" min="6" max="6"/>
  </cols>
  <sheetData>
    <row r="1">
      <c r="A1" s="5" t="inlineStr">
        <is>
          <t>Week</t>
        </is>
      </c>
      <c r="B1" s="5" t="inlineStr">
        <is>
          <t>Focus</t>
        </is>
      </c>
      <c r="C1" s="5" t="inlineStr">
        <is>
          <t>Quiz title (10 problems)</t>
        </is>
      </c>
      <c r="D1" s="5" t="inlineStr">
        <is>
          <t>Score (0-1)</t>
        </is>
      </c>
      <c r="E1" s="5" t="inlineStr">
        <is>
          <t>Pass?</t>
        </is>
      </c>
      <c r="F1" s="5" t="inlineStr">
        <is>
          <t>Notes / next focus</t>
        </is>
      </c>
    </row>
    <row r="2">
      <c r="A2" s="6" t="inlineStr">
        <is>
          <t>P1 — Apr 23–26 (this week)</t>
        </is>
      </c>
      <c r="B2" s="6" t="inlineStr">
        <is>
          <t>Chapter 8 post-mortem</t>
        </is>
      </c>
      <c r="C2" s="6" t="inlineStr">
        <is>
          <t>Ch 8 Study Guide redo (self-graded vs. key)</t>
        </is>
      </c>
      <c r="D2" s="6" t="inlineStr"/>
      <c r="E2" s="6">
        <f>IF(D2="","",IF(D2&gt;=0.8,"Pass","Retry"))</f>
        <v/>
      </c>
      <c r="F2" s="6" t="n"/>
    </row>
    <row r="3">
      <c r="A3" s="7" t="inlineStr">
        <is>
          <t>P1 — Apr 27–May 3 (W1)</t>
        </is>
      </c>
      <c r="B3" s="7" t="inlineStr">
        <is>
          <t>Ch 6 exponents + Ch 7 factoring</t>
        </is>
      </c>
      <c r="C3" s="7" t="inlineStr">
        <is>
          <t>Exponent sprint + 10 mixed factoring</t>
        </is>
      </c>
      <c r="D3" s="7" t="inlineStr"/>
      <c r="E3" s="7">
        <f>IF(D3="","",IF(D3&gt;=0.8,"Pass","Retry"))</f>
        <v/>
      </c>
      <c r="F3" s="7" t="n"/>
    </row>
    <row r="4">
      <c r="A4" s="6" t="inlineStr">
        <is>
          <t>P1 — May 4–10 (W2)</t>
        </is>
      </c>
      <c r="B4" s="6" t="inlineStr">
        <is>
          <t>Ch 8 solving (sqrt, CTS, QF)</t>
        </is>
      </c>
      <c r="C4" s="6" t="inlineStr">
        <is>
          <t>Pick-the-method — 10 quadratics</t>
        </is>
      </c>
      <c r="D4" s="6" t="inlineStr"/>
      <c r="E4" s="6">
        <f>IF(D4="","",IF(D4&gt;=0.8,"Pass","Retry"))</f>
        <v/>
      </c>
      <c r="F4" s="6" t="n"/>
    </row>
    <row r="5">
      <c r="A5" s="7" t="inlineStr">
        <is>
          <t>P1 — May 11–17 (W3)</t>
        </is>
      </c>
      <c r="B5" s="7" t="inlineStr">
        <is>
          <t>Ch 8 graphing/transforms + Ch 9 radicals</t>
        </is>
      </c>
      <c r="C5" s="7" t="inlineStr">
        <is>
          <t>4 parabolas + 6 transforms + 8 radicals/Pythagorean</t>
        </is>
      </c>
      <c r="D5" s="7" t="inlineStr"/>
      <c r="E5" s="7">
        <f>IF(D5="","",IF(D5&gt;=0.8,"Pass","Retry"))</f>
        <v/>
      </c>
      <c r="F5" s="7" t="n"/>
    </row>
    <row r="6">
      <c r="A6" s="6" t="inlineStr">
        <is>
          <t>P1 — May 18–20 (W4 partial)</t>
        </is>
      </c>
      <c r="B6" s="6" t="inlineStr">
        <is>
          <t>Mock Q4 exam + REAL exam</t>
        </is>
      </c>
      <c r="C6" s="6" t="inlineStr">
        <is>
          <t>Mock Q4 (60 min, Ch 6-9) + REAL exam</t>
        </is>
      </c>
      <c r="D6" s="6" t="inlineStr"/>
      <c r="E6" s="6">
        <f>IF(D6="","",IF(D6&gt;=0.8,"Pass","Retry"))</f>
        <v/>
      </c>
      <c r="F6" s="6" t="n"/>
    </row>
    <row r="7">
      <c r="A7" s="7" t="inlineStr">
        <is>
          <t>P2 — Jun 1–7 (W1)</t>
        </is>
      </c>
      <c r="B7" s="7" t="inlineStr">
        <is>
          <t>Arithmetic fluency + inequalities</t>
        </is>
      </c>
      <c r="C7" s="7" t="inlineStr">
        <is>
          <t>Fraction/integer sprint + 10 inequalities</t>
        </is>
      </c>
      <c r="D7" s="7" t="inlineStr"/>
      <c r="E7" s="7">
        <f>IF(D7="","",IF(D7&gt;=0.8,"Pass","Retry"))</f>
        <v/>
      </c>
      <c r="F7" s="7" t="n"/>
    </row>
    <row r="8">
      <c r="A8" s="6" t="inlineStr">
        <is>
          <t>P2 — Jun 8–14 (W2)</t>
        </is>
      </c>
      <c r="B8" s="6" t="inlineStr">
        <is>
          <t>Linear equations</t>
        </is>
      </c>
      <c r="C8" s="6" t="inlineStr">
        <is>
          <t>Mixed linear — 15 problems</t>
        </is>
      </c>
      <c r="D8" s="6" t="inlineStr"/>
      <c r="E8" s="6">
        <f>IF(D8="","",IF(D8&gt;=0.8,"Pass","Retry"))</f>
        <v/>
      </c>
      <c r="F8" s="6" t="n"/>
    </row>
    <row r="9">
      <c r="A9" s="7" t="inlineStr">
        <is>
          <t>P2 — Jun 15–21 (W3)</t>
        </is>
      </c>
      <c r="B9" s="7" t="inlineStr">
        <is>
          <t>Functions + graphing linear</t>
        </is>
      </c>
      <c r="C9" s="7" t="inlineStr">
        <is>
          <t>5 graphs→eq, 5 eq→graphs, 6 f(x) eval</t>
        </is>
      </c>
      <c r="D9" s="7" t="inlineStr"/>
      <c r="E9" s="7">
        <f>IF(D9="","",IF(D9&gt;=0.8,"Pass","Retry"))</f>
        <v/>
      </c>
      <c r="F9" s="7" t="n"/>
    </row>
    <row r="10">
      <c r="A10" s="6" t="inlineStr">
        <is>
          <t>P2 — Jun 22–28 (W4)</t>
        </is>
      </c>
      <c r="B10" s="6" t="inlineStr">
        <is>
          <t>Systems + radicals/Pythagorean</t>
        </is>
      </c>
      <c r="C10" s="6" t="inlineStr">
        <is>
          <t>10 systems + 8 radicals</t>
        </is>
      </c>
      <c r="D10" s="6" t="inlineStr"/>
      <c r="E10" s="6">
        <f>IF(D10="","",IF(D10&gt;=0.8,"Pass","Retry"))</f>
        <v/>
      </c>
      <c r="F10" s="6" t="n"/>
    </row>
    <row r="11">
      <c r="A11" s="7" t="inlineStr">
        <is>
          <t>P2 — Jun 29–Jul 5 (W5)</t>
        </is>
      </c>
      <c r="B11" s="7" t="inlineStr">
        <is>
          <t>Exponents + polynomials</t>
        </is>
      </c>
      <c r="C11" s="7" t="inlineStr">
        <is>
          <t>Exponent-rule sprint + 10 FOIL</t>
        </is>
      </c>
      <c r="D11" s="7" t="inlineStr"/>
      <c r="E11" s="7">
        <f>IF(D11="","",IF(D11&gt;=0.8,"Pass","Retry"))</f>
        <v/>
      </c>
      <c r="F11" s="7" t="n"/>
    </row>
    <row r="12">
      <c r="A12" s="6" t="inlineStr">
        <is>
          <t>P2 — Jul 6–12 (W6)</t>
        </is>
      </c>
      <c r="B12" s="6" t="inlineStr">
        <is>
          <t>Factoring + quadratics rebuild</t>
        </is>
      </c>
      <c r="C12" s="6" t="inlineStr">
        <is>
          <t>20 factoring + re-take Ch 8 Study Guide</t>
        </is>
      </c>
      <c r="D12" s="6" t="inlineStr"/>
      <c r="E12" s="6">
        <f>IF(D12="","",IF(D12&gt;=0.8,"Pass","Retry"))</f>
        <v/>
      </c>
      <c r="F12" s="6" t="n"/>
    </row>
    <row r="13">
      <c r="A13" s="7" t="inlineStr">
        <is>
          <t>P2 — Jul 13–15 (W7 partial)</t>
        </is>
      </c>
      <c r="B13" s="7" t="inlineStr">
        <is>
          <t>Comprehensive mock final</t>
        </is>
      </c>
      <c r="C13" s="7" t="inlineStr">
        <is>
          <t>60-min comprehensive mock final</t>
        </is>
      </c>
      <c r="D13" s="7" t="inlineStr"/>
      <c r="E13" s="7">
        <f>IF(D13="","",IF(D13&gt;=0.8,"Pass","Retry"))</f>
        <v/>
      </c>
      <c r="F13" s="7" t="n"/>
    </row>
  </sheetData>
  <conditionalFormatting sqref="E2:E13">
    <cfRule type="cellIs" priority="1" operator="equal" dxfId="0" stopIfTrue="0">
      <formula>"Pass"</formula>
    </cfRule>
    <cfRule type="cellIs" priority="2" operator="equal" dxfId="1" stopIfTrue="0">
      <formula>"Retry"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2" customWidth="1" min="4" max="4"/>
    <col width="12" customWidth="1" min="5" max="5"/>
    <col width="36" customWidth="1" min="6" max="6"/>
  </cols>
  <sheetData>
    <row r="1">
      <c r="A1" s="5" t="inlineStr">
        <is>
          <t>Chapter</t>
        </is>
      </c>
      <c r="B1" s="5" t="inlineStr">
        <is>
          <t>Topic</t>
        </is>
      </c>
      <c r="C1" s="5" t="inlineStr">
        <is>
          <t>Status</t>
        </is>
      </c>
      <c r="D1" s="5" t="inlineStr">
        <is>
          <t>Last quiz %</t>
        </is>
      </c>
      <c r="E1" s="5" t="inlineStr">
        <is>
          <t>Target date</t>
        </is>
      </c>
      <c r="F1" s="5" t="inlineStr">
        <is>
          <t>Notes</t>
        </is>
      </c>
    </row>
    <row r="2">
      <c r="A2" s="6" t="inlineStr">
        <is>
          <t>Ch 2</t>
        </is>
      </c>
      <c r="B2" s="6" t="inlineStr">
        <is>
          <t>Solving linear equations &amp; inequalities</t>
        </is>
      </c>
      <c r="C2" s="6" t="inlineStr">
        <is>
          <t>Untested</t>
        </is>
      </c>
      <c r="D2" s="6" t="inlineStr"/>
      <c r="E2" s="6" t="inlineStr"/>
      <c r="F2" s="6" t="inlineStr"/>
    </row>
    <row r="3">
      <c r="A3" s="7" t="inlineStr">
        <is>
          <t>Ch 3</t>
        </is>
      </c>
      <c r="B3" s="7" t="inlineStr">
        <is>
          <t>Functions &amp; function notation</t>
        </is>
      </c>
      <c r="C3" s="7" t="inlineStr">
        <is>
          <t>Untested</t>
        </is>
      </c>
      <c r="D3" s="7" t="inlineStr"/>
      <c r="E3" s="7" t="inlineStr"/>
      <c r="F3" s="7" t="inlineStr"/>
    </row>
    <row r="4">
      <c r="A4" s="6" t="inlineStr">
        <is>
          <t>Ch 4</t>
        </is>
      </c>
      <c r="B4" s="6" t="inlineStr">
        <is>
          <t>Linear graphs (slope-intercept, point-slope)</t>
        </is>
      </c>
      <c r="C4" s="6" t="inlineStr">
        <is>
          <t>Untested</t>
        </is>
      </c>
      <c r="D4" s="6" t="inlineStr"/>
      <c r="E4" s="6" t="inlineStr"/>
      <c r="F4" s="6" t="inlineStr"/>
    </row>
    <row r="5">
      <c r="A5" s="7" t="inlineStr">
        <is>
          <t>Ch 5</t>
        </is>
      </c>
      <c r="B5" s="7" t="inlineStr">
        <is>
          <t>Systems of equations &amp; inequalities</t>
        </is>
      </c>
      <c r="C5" s="7" t="inlineStr">
        <is>
          <t>Untested</t>
        </is>
      </c>
      <c r="D5" s="7" t="inlineStr"/>
      <c r="E5" s="7" t="inlineStr"/>
      <c r="F5" s="7" t="inlineStr"/>
    </row>
    <row r="6">
      <c r="A6" s="6" t="inlineStr">
        <is>
          <t>Ch 6</t>
        </is>
      </c>
      <c r="B6" s="6" t="inlineStr">
        <is>
          <t>Exponents &amp; exponential functions</t>
        </is>
      </c>
      <c r="C6" s="6" t="inlineStr">
        <is>
          <t>Untested</t>
        </is>
      </c>
      <c r="D6" s="6" t="inlineStr"/>
      <c r="E6" s="6" t="inlineStr"/>
      <c r="F6" s="6" t="inlineStr"/>
    </row>
    <row r="7">
      <c r="A7" s="7" t="inlineStr">
        <is>
          <t>Ch 7.1</t>
        </is>
      </c>
      <c r="B7" s="7" t="inlineStr">
        <is>
          <t>Polynomial add/sub/multiply</t>
        </is>
      </c>
      <c r="C7" s="7" t="inlineStr">
        <is>
          <t>Untested</t>
        </is>
      </c>
      <c r="D7" s="7" t="inlineStr"/>
      <c r="E7" s="7" t="inlineStr"/>
      <c r="F7" s="7" t="inlineStr"/>
    </row>
    <row r="8">
      <c r="A8" s="6" t="inlineStr">
        <is>
          <t>Ch 7.2</t>
        </is>
      </c>
      <c r="B8" s="6" t="inlineStr">
        <is>
          <t>Factoring GCF</t>
        </is>
      </c>
      <c r="C8" s="6" t="inlineStr">
        <is>
          <t>Untested</t>
        </is>
      </c>
      <c r="D8" s="6" t="inlineStr"/>
      <c r="E8" s="6" t="inlineStr"/>
      <c r="F8" s="6" t="inlineStr"/>
    </row>
    <row r="9">
      <c r="A9" s="7" t="inlineStr">
        <is>
          <t>Ch 7.3</t>
        </is>
      </c>
      <c r="B9" s="7" t="inlineStr">
        <is>
          <t>Factoring trinomials a=1</t>
        </is>
      </c>
      <c r="C9" s="7" t="inlineStr">
        <is>
          <t>Untested</t>
        </is>
      </c>
      <c r="D9" s="7" t="inlineStr"/>
      <c r="E9" s="7" t="inlineStr"/>
      <c r="F9" s="7" t="inlineStr"/>
    </row>
    <row r="10">
      <c r="A10" s="6" t="inlineStr">
        <is>
          <t>Ch 7.4</t>
        </is>
      </c>
      <c r="B10" s="6" t="inlineStr">
        <is>
          <t>Factoring trinomials a&gt;1</t>
        </is>
      </c>
      <c r="C10" s="6" t="inlineStr">
        <is>
          <t>Untested</t>
        </is>
      </c>
      <c r="D10" s="6" t="inlineStr"/>
      <c r="E10" s="6" t="inlineStr"/>
      <c r="F10" s="6" t="inlineStr"/>
    </row>
    <row r="11">
      <c r="A11" s="7" t="inlineStr">
        <is>
          <t>Ch 7.5</t>
        </is>
      </c>
      <c r="B11" s="7" t="inlineStr">
        <is>
          <t>Difference of squares / perfect squares</t>
        </is>
      </c>
      <c r="C11" s="7" t="inlineStr">
        <is>
          <t>Untested</t>
        </is>
      </c>
      <c r="D11" s="7" t="inlineStr"/>
      <c r="E11" s="7" t="inlineStr"/>
      <c r="F11" s="7" t="inlineStr"/>
    </row>
    <row r="12">
      <c r="A12" s="6" t="inlineStr">
        <is>
          <t>Ch 7.6</t>
        </is>
      </c>
      <c r="B12" s="6" t="inlineStr">
        <is>
          <t>Mixed factoring</t>
        </is>
      </c>
      <c r="C12" s="6" t="inlineStr">
        <is>
          <t>Untested</t>
        </is>
      </c>
      <c r="D12" s="6" t="inlineStr"/>
      <c r="E12" s="6" t="inlineStr"/>
      <c r="F12" s="6" t="inlineStr"/>
    </row>
    <row r="13">
      <c r="A13" s="7" t="inlineStr">
        <is>
          <t>Ch 7.7</t>
        </is>
      </c>
      <c r="B13" s="7" t="inlineStr">
        <is>
          <t>Dividing polynomials</t>
        </is>
      </c>
      <c r="C13" s="7" t="inlineStr">
        <is>
          <t>Untested</t>
        </is>
      </c>
      <c r="D13" s="7" t="inlineStr"/>
      <c r="E13" s="7" t="inlineStr"/>
      <c r="F13" s="7" t="inlineStr"/>
    </row>
    <row r="14">
      <c r="A14" s="6" t="inlineStr">
        <is>
          <t>Ch 8.1</t>
        </is>
      </c>
      <c r="B14" s="6" t="inlineStr">
        <is>
          <t>Intro to quadratics</t>
        </is>
      </c>
      <c r="C14" s="6" t="inlineStr">
        <is>
          <t>Untested</t>
        </is>
      </c>
      <c r="D14" s="6" t="inlineStr"/>
      <c r="E14" s="6" t="inlineStr"/>
      <c r="F14" s="6" t="inlineStr"/>
    </row>
    <row r="15">
      <c r="A15" s="7" t="inlineStr">
        <is>
          <t>Ch 8.2</t>
        </is>
      </c>
      <c r="B15" s="7" t="inlineStr">
        <is>
          <t>Graphing from standard form</t>
        </is>
      </c>
      <c r="C15" s="7" t="inlineStr">
        <is>
          <t>Untested</t>
        </is>
      </c>
      <c r="D15" s="7" t="inlineStr"/>
      <c r="E15" s="7" t="inlineStr"/>
      <c r="F15" s="7" t="inlineStr"/>
    </row>
    <row r="16">
      <c r="A16" s="6" t="inlineStr">
        <is>
          <t>Ch 8.3</t>
        </is>
      </c>
      <c r="B16" s="6" t="inlineStr">
        <is>
          <t>Graphing from vertex form + transformations</t>
        </is>
      </c>
      <c r="C16" s="6" t="inlineStr">
        <is>
          <t>Untested</t>
        </is>
      </c>
      <c r="D16" s="6" t="inlineStr"/>
      <c r="E16" s="6" t="inlineStr"/>
      <c r="F16" s="6" t="inlineStr"/>
    </row>
    <row r="17">
      <c r="A17" s="7" t="inlineStr">
        <is>
          <t>Ch 8.4</t>
        </is>
      </c>
      <c r="B17" s="7" t="inlineStr">
        <is>
          <t>Discriminant &amp; roots</t>
        </is>
      </c>
      <c r="C17" s="7" t="inlineStr">
        <is>
          <t>Untested</t>
        </is>
      </c>
      <c r="D17" s="7" t="inlineStr"/>
      <c r="E17" s="7" t="inlineStr"/>
      <c r="F17" s="7" t="inlineStr"/>
    </row>
    <row r="18">
      <c r="A18" s="6" t="inlineStr">
        <is>
          <t>Ch 8.5</t>
        </is>
      </c>
      <c r="B18" s="6" t="inlineStr">
        <is>
          <t>Solving by factoring</t>
        </is>
      </c>
      <c r="C18" s="6" t="inlineStr">
        <is>
          <t>Untested</t>
        </is>
      </c>
      <c r="D18" s="6" t="inlineStr"/>
      <c r="E18" s="6" t="inlineStr"/>
      <c r="F18" s="6" t="inlineStr"/>
    </row>
    <row r="19">
      <c r="A19" s="7" t="inlineStr">
        <is>
          <t>Ch 8.6</t>
        </is>
      </c>
      <c r="B19" s="7" t="inlineStr">
        <is>
          <t>Solving by square roots</t>
        </is>
      </c>
      <c r="C19" s="7" t="inlineStr">
        <is>
          <t>Untested</t>
        </is>
      </c>
      <c r="D19" s="7" t="inlineStr"/>
      <c r="E19" s="7" t="inlineStr"/>
      <c r="F19" s="7" t="inlineStr"/>
    </row>
    <row r="20">
      <c r="A20" s="6" t="inlineStr">
        <is>
          <t>Ch 8.7</t>
        </is>
      </c>
      <c r="B20" s="6" t="inlineStr">
        <is>
          <t>Completing the square</t>
        </is>
      </c>
      <c r="C20" s="6" t="inlineStr">
        <is>
          <t>Untested</t>
        </is>
      </c>
      <c r="D20" s="6" t="inlineStr"/>
      <c r="E20" s="6" t="inlineStr"/>
      <c r="F20" s="6" t="inlineStr"/>
    </row>
    <row r="21">
      <c r="A21" s="7" t="inlineStr">
        <is>
          <t>Ch 8.8</t>
        </is>
      </c>
      <c r="B21" s="7" t="inlineStr">
        <is>
          <t>Quadratic formula</t>
        </is>
      </c>
      <c r="C21" s="7" t="inlineStr">
        <is>
          <t>Untested</t>
        </is>
      </c>
      <c r="D21" s="7" t="inlineStr"/>
      <c r="E21" s="7" t="inlineStr"/>
      <c r="F21" s="7" t="inlineStr"/>
    </row>
    <row r="22">
      <c r="A22" s="6" t="inlineStr">
        <is>
          <t>Ch 8.9</t>
        </is>
      </c>
      <c r="B22" s="6" t="inlineStr">
        <is>
          <t>Choose the best method</t>
        </is>
      </c>
      <c r="C22" s="6" t="inlineStr">
        <is>
          <t>Untested</t>
        </is>
      </c>
      <c r="D22" s="6" t="inlineStr"/>
      <c r="E22" s="6" t="inlineStr"/>
      <c r="F22" s="6" t="inlineStr"/>
    </row>
    <row r="23">
      <c r="A23" s="7" t="inlineStr">
        <is>
          <t>Ch 8.10</t>
        </is>
      </c>
      <c r="B23" s="7" t="inlineStr">
        <is>
          <t>Word problems (area, integers, projectile)</t>
        </is>
      </c>
      <c r="C23" s="7" t="inlineStr">
        <is>
          <t>Untested</t>
        </is>
      </c>
      <c r="D23" s="7" t="inlineStr"/>
      <c r="E23" s="7" t="inlineStr"/>
      <c r="F23" s="7" t="inlineStr"/>
    </row>
    <row r="24">
      <c r="A24" s="6" t="inlineStr">
        <is>
          <t>Ch 8.11</t>
        </is>
      </c>
      <c r="B24" s="6" t="inlineStr">
        <is>
          <t>Linear vs. quadratic models</t>
        </is>
      </c>
      <c r="C24" s="6" t="inlineStr">
        <is>
          <t>Untested</t>
        </is>
      </c>
      <c r="D24" s="6" t="inlineStr"/>
      <c r="E24" s="6" t="inlineStr"/>
      <c r="F24" s="6" t="inlineStr"/>
    </row>
  </sheetData>
  <conditionalFormatting sqref="C2:C24">
    <cfRule type="cellIs" priority="1" operator="equal" dxfId="0" stopIfTrue="0">
      <formula>"Mastered"</formula>
    </cfRule>
    <cfRule type="cellIs" priority="2" operator="equal" dxfId="3" stopIfTrue="0">
      <formula>"Strong"</formula>
    </cfRule>
    <cfRule type="cellIs" priority="3" operator="equal" dxfId="2" stopIfTrue="0">
      <formula>"Okay"</formula>
    </cfRule>
    <cfRule type="cellIs" priority="4" operator="equal" dxfId="1" stopIfTrue="0">
      <formula>"Weak"</formula>
    </cfRule>
  </conditionalFormatting>
  <dataValidations count="1">
    <dataValidation sqref="C2:C24" showDropDown="0" showInputMessage="0" showErrorMessage="0" allowBlank="1" type="list">
      <formula1>"Untested,Weak,Okay,Strong,Mastered"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34" customWidth="1" min="6" max="6"/>
    <col width="14" customWidth="1" min="7" max="7"/>
  </cols>
  <sheetData>
    <row r="1">
      <c r="A1" s="5" t="inlineStr">
        <is>
          <t>Date</t>
        </is>
      </c>
      <c r="B1" s="5" t="inlineStr">
        <is>
          <t>Topic</t>
        </is>
      </c>
      <c r="C1" s="5" t="inlineStr">
        <is>
          <t>Problem (brief)</t>
        </is>
      </c>
      <c r="D1" s="5" t="inlineStr">
        <is>
          <t>What he tried</t>
        </is>
      </c>
      <c r="E1" s="5" t="inlineStr">
        <is>
          <t>Where it broke</t>
        </is>
      </c>
      <c r="F1" s="5" t="inlineStr">
        <is>
          <t>Correct approach</t>
        </is>
      </c>
      <c r="G1" s="5" t="inlineStr">
        <is>
          <t>Seen before?</t>
        </is>
      </c>
    </row>
    <row r="2">
      <c r="A2" s="7" t="inlineStr">
        <is>
          <t>2026-04-23</t>
        </is>
      </c>
      <c r="B2" s="7" t="inlineStr">
        <is>
          <t>Ch 8 — solving by factoring</t>
        </is>
      </c>
      <c r="C2" s="7" t="inlineStr">
        <is>
          <t>x² + 3x − 10 = 0</t>
        </is>
      </c>
      <c r="D2" s="7" t="inlineStr">
        <is>
          <t>Tried factoring as (x+2)(x+5)</t>
        </is>
      </c>
      <c r="E2" s="7" t="inlineStr">
        <is>
          <t>Sign error on product of roots</t>
        </is>
      </c>
      <c r="F2" s="7" t="inlineStr">
        <is>
          <t>Need −10, so factors sum to +3 with opposite signs: (x+5)(x−2)</t>
        </is>
      </c>
      <c r="G2" s="7" t="inlineStr">
        <is>
          <t>No</t>
        </is>
      </c>
    </row>
    <row r="3">
      <c r="A3" s="9" t="n"/>
      <c r="B3" s="9" t="n"/>
      <c r="C3" s="9" t="n"/>
      <c r="D3" s="9" t="n"/>
      <c r="E3" s="9" t="n"/>
      <c r="F3" s="9" t="n"/>
      <c r="G3" s="9" t="n"/>
    </row>
    <row r="4">
      <c r="A4" s="10" t="n"/>
      <c r="B4" s="10" t="n"/>
      <c r="C4" s="10" t="n"/>
      <c r="D4" s="10" t="n"/>
      <c r="E4" s="10" t="n"/>
      <c r="F4" s="10" t="n"/>
      <c r="G4" s="10" t="n"/>
    </row>
    <row r="5">
      <c r="A5" s="9" t="n"/>
      <c r="B5" s="9" t="n"/>
      <c r="C5" s="9" t="n"/>
      <c r="D5" s="9" t="n"/>
      <c r="E5" s="9" t="n"/>
      <c r="F5" s="9" t="n"/>
      <c r="G5" s="9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9" t="n"/>
      <c r="B39" s="9" t="n"/>
      <c r="C39" s="9" t="n"/>
      <c r="D39" s="9" t="n"/>
      <c r="E39" s="9" t="n"/>
      <c r="F39" s="9" t="n"/>
      <c r="G39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tracker</t>
        </is>
      </c>
    </row>
    <row r="2">
      <c r="A2" t="inlineStr"/>
    </row>
    <row r="3">
      <c r="A3" s="11" t="inlineStr">
        <is>
          <t>EACH DAY (the 45-60 min session):</t>
        </is>
      </c>
    </row>
    <row r="4">
      <c r="A4" t="inlineStr">
        <is>
          <t xml:space="preserve">  1. Open Daily Log. Find today's row.</t>
        </is>
      </c>
    </row>
    <row r="5">
      <c r="A5" t="inlineStr">
        <is>
          <t xml:space="preserve">  2. Mark Status = Done / Partial / Skipped when you finish.</t>
        </is>
      </c>
    </row>
    <row r="6">
      <c r="A6" t="inlineStr">
        <is>
          <t xml:space="preserve">  3. Write 1 line in 'Topics today' about what was covered.</t>
        </is>
      </c>
    </row>
    <row r="7">
      <c r="A7" t="inlineStr">
        <is>
          <t xml:space="preserve">  4. Log any mistake into Error Log (it takes 60 seconds).</t>
        </is>
      </c>
    </row>
    <row r="8">
      <c r="A8" t="inlineStr"/>
    </row>
    <row r="9">
      <c r="A9" s="11" t="inlineStr">
        <is>
          <t>EVERY WEEK (Sunday, ~15 min):</t>
        </is>
      </c>
    </row>
    <row r="10">
      <c r="A10" t="inlineStr">
        <is>
          <t xml:space="preserve">  1. Take the scheduled quiz from Weekly Checkpoints. Score as a decimal (0.80 = 80%).</t>
        </is>
      </c>
    </row>
    <row r="11">
      <c r="A11" t="inlineStr">
        <is>
          <t xml:space="preserve">  2. Update Mastery for any chapters covered: Untested → Weak / Okay / Strong / Mastered.</t>
        </is>
      </c>
    </row>
    <row r="12">
      <c r="A12" t="inlineStr">
        <is>
          <t xml:space="preserve">  3. Flip through Error Log with Neil. Any mistake seen 3+ times → it's next week's theme.</t>
        </is>
      </c>
    </row>
    <row r="13">
      <c r="A13" t="inlineStr"/>
    </row>
    <row r="14">
      <c r="A14" s="11" t="inlineStr">
        <is>
          <t>EVERY MONTH (~30 min):</t>
        </is>
      </c>
    </row>
    <row r="15">
      <c r="A15" t="inlineStr">
        <is>
          <t xml:space="preserve">  1. Take one full chapter's practice test from the Recovery Plan doc, Section 10.</t>
        </is>
      </c>
    </row>
    <row r="16">
      <c r="A16" t="inlineStr">
        <is>
          <t xml:space="preserve">  2. Log score in Weekly Checkpoints.</t>
        </is>
      </c>
    </row>
    <row r="17">
      <c r="A17" t="inlineStr">
        <is>
          <t xml:space="preserve">  3. Update Mastery statuses.</t>
        </is>
      </c>
    </row>
    <row r="18">
      <c r="A18" t="inlineStr"/>
    </row>
    <row r="19">
      <c r="A19" s="11" t="inlineStr">
        <is>
          <t>END OF SUMMER (Jul 13–15, before school restarts Jul 16):</t>
        </is>
      </c>
    </row>
    <row r="20">
      <c r="A20" t="inlineStr">
        <is>
          <t xml:space="preserve">  1. Take the full comprehensive mock final (Week 7 of Phase 2).</t>
        </is>
      </c>
    </row>
    <row r="21">
      <c r="A21" t="inlineStr">
        <is>
          <t xml:space="preserve">  2. If score ≥ 85% → ready for 7th grade math.</t>
        </is>
      </c>
    </row>
    <row r="22">
      <c r="A22" t="inlineStr">
        <is>
          <t xml:space="preserve">  3. If 70–84% → ready but fragile. Keep daily practice through the school year.</t>
        </is>
      </c>
    </row>
    <row r="23">
      <c r="A23" t="inlineStr">
        <is>
          <t xml:space="preserve">  4. If &lt; 70% → repeat Algebra 1 in 7th grade. Decision deadline: Jul 15.</t>
        </is>
      </c>
    </row>
    <row r="24">
      <c r="A24" t="inlineStr"/>
    </row>
    <row r="25">
      <c r="A25" s="11" t="inlineStr">
        <is>
          <t>THE #1 RULE: consistency beats intensity. 45 min/day for 13 weeks &gt; 4 hours on random Saturdays.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2026-04-25T18:43:31Z</dcterms:created>
  <dcterms:modified xmlns:dcterms="http://purl.org/dc/terms/" xmlns:xsi="http://www.w3.org/2001/XMLSchema-instance" xsi:type="dcterms:W3CDTF">2026-04-25T18:43:31Z</dcterms:modified>
</cp:coreProperties>
</file>